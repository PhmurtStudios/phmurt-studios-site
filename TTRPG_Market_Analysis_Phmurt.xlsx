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etitor Analysis" sheetId="1" state="visible" r:id="rId3"/>
    <sheet name="Phmurt Studios Foreca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<sst xmlns="http://schemas.openxmlformats.org/spreadsheetml/2006/main" count="285" uniqueCount="241">
  <si>
    <t xml:space="preserve">D&amp;D / TTRPG Tool Market — Competitor Analysis</t>
  </si>
  <si>
    <t xml:space="preserve">Compiled April 2026 — Estimates marked (est.), confirmed data where available</t>
  </si>
  <si>
    <t xml:space="preserve">MAJOR PLATFORMS</t>
  </si>
  <si>
    <t xml:space="preserve">Website</t>
  </si>
  <si>
    <t xml:space="preserve">Registered Users</t>
  </si>
  <si>
    <t xml:space="preserve">Monthly Visitors</t>
  </si>
  <si>
    <t xml:space="preserve">Est. Annual Revenue</t>
  </si>
  <si>
    <t xml:space="preserve">Business Model</t>
  </si>
  <si>
    <t xml:space="preserve">Founded</t>
  </si>
  <si>
    <t xml:space="preserve">Key Features</t>
  </si>
  <si>
    <t xml:space="preserve">D&amp;D Beyond</t>
  </si>
  <si>
    <t xml:space="preserve">19,000,000</t>
  </si>
  <si>
    <t xml:space="preserve">~50M/mo</t>
  </si>
  <si>
    <t xml:space="preserve">$80M–$120M (est.)</t>
  </si>
  <si>
    <t xml:space="preserve">Subscription + Marketplace</t>
  </si>
  <si>
    <t xml:space="preserve">2017</t>
  </si>
  <si>
    <t xml:space="preserve">Official D&amp;D toolset, character builder, compendium</t>
  </si>
  <si>
    <t xml:space="preserve">Roll20</t>
  </si>
  <si>
    <t xml:space="preserve">10,000,000</t>
  </si>
  <si>
    <t xml:space="preserve">~8M/mo</t>
  </si>
  <si>
    <t xml:space="preserve">$5M–$16M (est.)</t>
  </si>
  <si>
    <t xml:space="preserve">Freemium Subscription</t>
  </si>
  <si>
    <t xml:space="preserve">2012</t>
  </si>
  <si>
    <t xml:space="preserve">VTT, character sheets, marketplace</t>
  </si>
  <si>
    <t xml:space="preserve">Foundry VTT</t>
  </si>
  <si>
    <t xml:space="preserve">Unknown (large)</t>
  </si>
  <si>
    <t xml:space="preserve">~2M/mo</t>
  </si>
  <si>
    <t xml:space="preserve">$12M (2022 confirmed)</t>
  </si>
  <si>
    <t xml:space="preserve">One-time $50 License</t>
  </si>
  <si>
    <t xml:space="preserve">2020</t>
  </si>
  <si>
    <t xml:space="preserve">Self-hosted VTT, modular, huge mod community</t>
  </si>
  <si>
    <t xml:space="preserve">Fantasy Grounds</t>
  </si>
  <si>
    <t xml:space="preserve">~500,000 (est.)</t>
  </si>
  <si>
    <t xml:space="preserve">~800K/mo</t>
  </si>
  <si>
    <t xml:space="preserve">$5M–$10M (est.)</t>
  </si>
  <si>
    <t xml:space="preserve">One-time Purchase + DLC</t>
  </si>
  <si>
    <t xml:space="preserve">2004</t>
  </si>
  <si>
    <t xml:space="preserve">Licensed VTT, official content packs</t>
  </si>
  <si>
    <t xml:space="preserve">World Anvil</t>
  </si>
  <si>
    <t xml:space="preserve">3,000,000+</t>
  </si>
  <si>
    <t xml:space="preserve">~1.5M/mo</t>
  </si>
  <si>
    <t xml:space="preserve">&lt;$1M (est.)</t>
  </si>
  <si>
    <t xml:space="preserve">Worldbuilding wiki, campaign management</t>
  </si>
  <si>
    <t xml:space="preserve">MID-TIER TOOLS</t>
  </si>
  <si>
    <t xml:space="preserve">TaleSpire</t>
  </si>
  <si>
    <t xml:space="preserve">~50,000 (est.)</t>
  </si>
  <si>
    <t xml:space="preserve">~200K/mo</t>
  </si>
  <si>
    <t xml:space="preserve">$1M–$3M (est.)</t>
  </si>
  <si>
    <t xml:space="preserve">One-time Purchase (Steam)</t>
  </si>
  <si>
    <t xml:space="preserve">2021</t>
  </si>
  <si>
    <t xml:space="preserve">3D VTT, immersive tabletop simulation</t>
  </si>
  <si>
    <t xml:space="preserve">Inkarnate</t>
  </si>
  <si>
    <t xml:space="preserve">~1M/mo</t>
  </si>
  <si>
    <t xml:space="preserve">$1M–$2M (est.)</t>
  </si>
  <si>
    <t xml:space="preserve">Freemium ($5/mo Pro)</t>
  </si>
  <si>
    <t xml:space="preserve">Fantasy map maker, assets library</t>
  </si>
  <si>
    <t xml:space="preserve">Dungeon Fog</t>
  </si>
  <si>
    <t xml:space="preserve">95,000+</t>
  </si>
  <si>
    <t xml:space="preserve">~300K/mo</t>
  </si>
  <si>
    <t xml:space="preserve">~$1M (confirmed 2026)</t>
  </si>
  <si>
    <t xml:space="preserve">2018</t>
  </si>
  <si>
    <t xml:space="preserve">Battlemap &amp; dungeon creator</t>
  </si>
  <si>
    <t xml:space="preserve">Alchemy VTT</t>
  </si>
  <si>
    <t xml:space="preserve">~20,000 (est.)</t>
  </si>
  <si>
    <t xml:space="preserve">~100K/mo</t>
  </si>
  <si>
    <t xml:space="preserve">$500K–$1M (est.)</t>
  </si>
  <si>
    <t xml:space="preserve">Subscription ($8/mo)</t>
  </si>
  <si>
    <t xml:space="preserve">2024</t>
  </si>
  <si>
    <t xml:space="preserve">Modern VTT, Kickstarter funded ($200K+)</t>
  </si>
  <si>
    <t xml:space="preserve">Let's Role</t>
  </si>
  <si>
    <t xml:space="preserve">~100,000 (est.)</t>
  </si>
  <si>
    <t xml:space="preserve">&lt;$500K (est.)</t>
  </si>
  <si>
    <t xml:space="preserve">Free + Play Pass</t>
  </si>
  <si>
    <t xml:space="preserve">Browser VTT (dev ceased 2024)</t>
  </si>
  <si>
    <t xml:space="preserve">Dungeondraft</t>
  </si>
  <si>
    <t xml:space="preserve">~80,000 (est.)</t>
  </si>
  <si>
    <t xml:space="preserve">~150K/mo</t>
  </si>
  <si>
    <t xml:space="preserve">One-time Purchase</t>
  </si>
  <si>
    <t xml:space="preserve">Desktop map drawing tool</t>
  </si>
  <si>
    <t xml:space="preserve">INDIE / SMALL TOOLS</t>
  </si>
  <si>
    <t xml:space="preserve">5e.tools</t>
  </si>
  <si>
    <t xml:space="preserve">N/A (open)</t>
  </si>
  <si>
    <t xml:space="preserve">3,600,000/mo</t>
  </si>
  <si>
    <t xml:space="preserve">~$0 (community-run)</t>
  </si>
  <si>
    <t xml:space="preserve">Free / Open Source</t>
  </si>
  <si>
    <t xml:space="preserve">Comprehensive D&amp;D 5e reference</t>
  </si>
  <si>
    <t xml:space="preserve">Kassoon</t>
  </si>
  <si>
    <t xml:space="preserve">148,000/mo</t>
  </si>
  <si>
    <t xml:space="preserve">$130K–$450K (est.)</t>
  </si>
  <si>
    <t xml:space="preserve">Ads + Patreon (3,785)</t>
  </si>
  <si>
    <t xml:space="preserve">2016</t>
  </si>
  <si>
    <t xml:space="preserve">D&amp;D generators, encounter tools</t>
  </si>
  <si>
    <t xml:space="preserve">Owlbear Rodeo</t>
  </si>
  <si>
    <t xml:space="preserve">~200,000 (est.)</t>
  </si>
  <si>
    <t xml:space="preserve">~500K/mo</t>
  </si>
  <si>
    <t xml:space="preserve">$50K–$150K (est.)</t>
  </si>
  <si>
    <t xml:space="preserve">Patreon → Subscription</t>
  </si>
  <si>
    <t xml:space="preserve">Simple VTT, no account needed</t>
  </si>
  <si>
    <t xml:space="preserve">Kobold Plus Club</t>
  </si>
  <si>
    <t xml:space="preserve">N/A</t>
  </si>
  <si>
    <t xml:space="preserve">~$0 (free tool)</t>
  </si>
  <si>
    <t xml:space="preserve">Free / Community</t>
  </si>
  <si>
    <t xml:space="preserve">2019</t>
  </si>
  <si>
    <t xml:space="preserve">Encounter difficulty calculator</t>
  </si>
  <si>
    <t xml:space="preserve">Improved Initiative</t>
  </si>
  <si>
    <t xml:space="preserve">~25K/mo</t>
  </si>
  <si>
    <t xml:space="preserve">&lt;$10K (Patreon)</t>
  </si>
  <si>
    <t xml:space="preserve">Patreon / Donations</t>
  </si>
  <si>
    <t xml:space="preserve">Combat tracker, initiative roller</t>
  </si>
  <si>
    <t xml:space="preserve">donjon</t>
  </si>
  <si>
    <t xml:space="preserve">~400K/mo</t>
  </si>
  <si>
    <t xml:space="preserve">$5K–$15K (ads est.)</t>
  </si>
  <si>
    <t xml:space="preserve">Ad-supported</t>
  </si>
  <si>
    <t xml:space="preserve">2009</t>
  </si>
  <si>
    <t xml:space="preserve">Random generators (dungeons, NPCs, loot)</t>
  </si>
  <si>
    <t xml:space="preserve">Watabou</t>
  </si>
  <si>
    <t xml:space="preserve">&lt;$5K (itch.io tips)</t>
  </si>
  <si>
    <t xml:space="preserve">Free / Tips</t>
  </si>
  <si>
    <t xml:space="preserve">Procedural city/dungeon generators</t>
  </si>
  <si>
    <t xml:space="preserve">RPG Tinker</t>
  </si>
  <si>
    <t xml:space="preserve">~50K/mo</t>
  </si>
  <si>
    <t xml:space="preserve">&lt;$5K (est.)</t>
  </si>
  <si>
    <t xml:space="preserve">Free / Ads</t>
  </si>
  <si>
    <t xml:space="preserve">2015</t>
  </si>
  <si>
    <t xml:space="preserve">NPC stat block generator</t>
  </si>
  <si>
    <t xml:space="preserve">Chartopia</t>
  </si>
  <si>
    <t xml:space="preserve">~10,000 (est.)</t>
  </si>
  <si>
    <t xml:space="preserve">~30K/mo</t>
  </si>
  <si>
    <t xml:space="preserve">Freemium + Patreon</t>
  </si>
  <si>
    <t xml:space="preserve">Random table platform</t>
  </si>
  <si>
    <t xml:space="preserve">Shmeppy</t>
  </si>
  <si>
    <t xml:space="preserve">~5,000 (est.)</t>
  </si>
  <si>
    <t xml:space="preserve">~15K/mo</t>
  </si>
  <si>
    <t xml:space="preserve">Subscription ($5/mo)</t>
  </si>
  <si>
    <t xml:space="preserve">Minimalist mapping tool</t>
  </si>
  <si>
    <t xml:space="preserve">AideDD</t>
  </si>
  <si>
    <t xml:space="preserve">~10K/mo</t>
  </si>
  <si>
    <t xml:space="preserve">&lt;$1K (ads)</t>
  </si>
  <si>
    <t xml:space="preserve">French D&amp;D reference tools</t>
  </si>
  <si>
    <t xml:space="preserve">Adventurer's Codex</t>
  </si>
  <si>
    <t xml:space="preserve">~2,000 (est.)</t>
  </si>
  <si>
    <t xml:space="preserve">~5K/mo</t>
  </si>
  <si>
    <t xml:space="preserve">&lt;$3K (Patreon ~220)</t>
  </si>
  <si>
    <t xml:space="preserve">D&amp;D companion app</t>
  </si>
  <si>
    <t xml:space="preserve">MARKET CONTEXT: Global TTRPG market ~$7.8B (2025). Digital tools segment projected $551M by 2030. VTTs support 55% of campaigns. Market CAGR ~12%.</t>
  </si>
  <si>
    <t xml:space="preserve">Phmurt Studios — Revenue &amp; Profit Forecast</t>
  </si>
  <si>
    <t xml:space="preserve">5-Year Projection Model (Conservative / Base / Optimistic scenarios)</t>
  </si>
  <si>
    <t xml:space="preserve">KEY ASSUMPTIONS</t>
  </si>
  <si>
    <t xml:space="preserve">Assumption</t>
  </si>
  <si>
    <t xml:space="preserve">Value</t>
  </si>
  <si>
    <t xml:space="preserve">Notes</t>
  </si>
  <si>
    <t xml:space="preserve">Current Monthly Visitors (est.)</t>
  </si>
  <si>
    <t xml:space="preserve">Starting estimate for new indie site</t>
  </si>
  <si>
    <t xml:space="preserve">Monthly Visitor Growth Rate</t>
  </si>
  <si>
    <t xml:space="preserve">12% mo/mo Year 1, decays 40% each subsequent year (realistic plateau)</t>
  </si>
  <si>
    <t xml:space="preserve">Free-to-Paid Conversion Rate</t>
  </si>
  <si>
    <t xml:space="preserve">2.5% of visitors become paid users</t>
  </si>
  <si>
    <t xml:space="preserve">Pro Subscription Price ($/month)</t>
  </si>
  <si>
    <t xml:space="preserve">Comparable to Inkarnate, World Anvil tiers</t>
  </si>
  <si>
    <t xml:space="preserve">Party Plan Price ($/month)</t>
  </si>
  <si>
    <t xml:space="preserve">Group/DM subscription tier</t>
  </si>
  <si>
    <t xml:space="preserve">Lifetime License Price ($)</t>
  </si>
  <si>
    <t xml:space="preserve">One-time purchase option</t>
  </si>
  <si>
    <t xml:space="preserve">Pro Sub % of Paid Users</t>
  </si>
  <si>
    <t xml:space="preserve">60% choose monthly Pro</t>
  </si>
  <si>
    <t xml:space="preserve">Party Plan % of Paid Users</t>
  </si>
  <si>
    <t xml:space="preserve">25% choose Party plan</t>
  </si>
  <si>
    <t xml:space="preserve">Lifetime % of Paid Users</t>
  </si>
  <si>
    <t xml:space="preserve">15% choose lifetime (one-time)</t>
  </si>
  <si>
    <t xml:space="preserve">Monthly Churn Rate (Pro)</t>
  </si>
  <si>
    <t xml:space="preserve">8% monthly churn (industry avg 5-10%)</t>
  </si>
  <si>
    <t xml:space="preserve">Monthly Churn Rate (Party)</t>
  </si>
  <si>
    <t xml:space="preserve">5% monthly churn (stickier tier)</t>
  </si>
  <si>
    <t xml:space="preserve">Ad Revenue CPM ($)</t>
  </si>
  <si>
    <t xml:space="preserve">RPM for niche gaming content</t>
  </si>
  <si>
    <t xml:space="preserve">Avg Pages Per Visit</t>
  </si>
  <si>
    <t xml:space="preserve">Generator-heavy sites get high page views</t>
  </si>
  <si>
    <t xml:space="preserve">Server Costs ($/month base)</t>
  </si>
  <si>
    <t xml:space="preserve">Starting hosting costs</t>
  </si>
  <si>
    <t xml:space="preserve">Server Cost Growth Rate</t>
  </si>
  <si>
    <t xml:space="preserve">5% monthly increase as traffic grows</t>
  </si>
  <si>
    <t xml:space="preserve">Marketing Budget ($/month)</t>
  </si>
  <si>
    <t xml:space="preserve">SEO, social media, community building</t>
  </si>
  <si>
    <t xml:space="preserve">Domain &amp; Services ($/year)</t>
  </si>
  <si>
    <t xml:space="preserve">Domain, email, CDN</t>
  </si>
  <si>
    <t xml:space="preserve">5-YEAR REVENUE &amp; PROFIT FORECAST</t>
  </si>
  <si>
    <t xml:space="preserve">Metric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</si>
  <si>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</si>
  <si>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</si>
  <si>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</si>
  <si>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</si>
  <si>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</si>
  <si>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Monthly Visitors (end of year)</t>
  </si>
  <si>
    <t xml:space="preserve">Annual Unique Visitors</t>
  </si>
  <si>
    <t xml:space="preserve">New Paid Users (annual)</t>
  </si>
  <si>
    <t xml:space="preserve">Active Pro Subscribers (avg)</t>
  </si>
  <si>
    <t xml:space="preserve">Active Party Subscribers (avg)</t>
  </si>
  <si>
    <t xml:space="preserve">Lifetime Purchases (annual)</t>
  </si>
  <si>
    <t xml:space="preserve">Subscription Revenue ($)</t>
  </si>
  <si>
    <t xml:space="preserve">Lifetime License Revenue ($)</t>
  </si>
  <si>
    <t xml:space="preserve">Ad Revenue ($)</t>
  </si>
  <si>
    <t xml:space="preserve">Total Revenue ($)</t>
  </si>
  <si>
    <t xml:space="preserve">Server &amp; Hosting ($)</t>
  </si>
  <si>
    <t xml:space="preserve">Marketing ($)</t>
  </si>
  <si>
    <t xml:space="preserve">Domain &amp; Services ($)</t>
  </si>
  <si>
    <t xml:space="preserve">Payment Processing (3.5%) ($)</t>
  </si>
  <si>
    <t xml:space="preserve">Total Expenses ($)</t>
  </si>
  <si>
    <t xml:space="preserve">Net Profit ($)</t>
  </si>
  <si>
    <t xml:space="preserve">Profit Margin (%)</t>
  </si>
  <si>
    <t xml:space="preserve">Cumulative Revenue ($)</t>
  </si>
  <si>
    <t xml:space="preserve">Cumulative Profit ($)</t>
  </si>
  <si>
    <t xml:space="preserve">COMPARABLE POSITIONING — Where Phmurt Studios Could Land</t>
  </si>
  <si>
    <t xml:space="preserve">Scenario</t>
  </si>
  <si>
    <t xml:space="preserve">Comparable To</t>
  </si>
  <si>
    <t xml:space="preserve">Annual Revenue</t>
  </si>
  <si>
    <t xml:space="preserve">Timeline</t>
  </si>
  <si>
    <t xml:space="preserve">Key Driver</t>
  </si>
  <si>
    <t xml:space="preserve">Conservative</t>
  </si>
  <si>
    <t xml:space="preserve">RPG Tinker / Shmeppy</t>
  </si>
  <si>
    <t xml:space="preserve">10K–50K/mo</t>
  </si>
  <si>
    <t xml:space="preserve">$1K–$10K/yr</t>
  </si>
  <si>
    <t xml:space="preserve">Year 1-2</t>
  </si>
  <si>
    <t xml:space="preserve">SEO, organic growth, niche generators</t>
  </si>
  <si>
    <t xml:space="preserve">Base Case</t>
  </si>
  <si>
    <t xml:space="preserve">Kassoon / Owlbear Rodeo</t>
  </si>
  <si>
    <t xml:space="preserve">100K–500K/mo</t>
  </si>
  <si>
    <t xml:space="preserve">$50K–$200K/yr</t>
  </si>
  <si>
    <t xml:space="preserve">Year 2-3</t>
  </si>
  <si>
    <t xml:space="preserve">Patreon + subscriptions, community building</t>
  </si>
  <si>
    <t xml:space="preserve">Optimistic</t>
  </si>
  <si>
    <t xml:space="preserve">Dungeon Fog / Inkarnate</t>
  </si>
  <si>
    <t xml:space="preserve">500K–1M/mo</t>
  </si>
  <si>
    <t xml:space="preserve">$500K–$1M/yr</t>
  </si>
  <si>
    <t xml:space="preserve">Year 3-5</t>
  </si>
  <si>
    <t xml:space="preserve">Viral growth, premium features, marketplace</t>
  </si>
  <si>
    <t xml:space="preserve">Moonshot</t>
  </si>
  <si>
    <t xml:space="preserve">Early Roll20</t>
  </si>
  <si>
    <t xml:space="preserve">1M+/mo</t>
  </si>
  <si>
    <t xml:space="preserve">$1M+/yr</t>
  </si>
  <si>
    <t xml:space="preserve">Year 5+</t>
  </si>
  <si>
    <t xml:space="preserve">All-in-one platform, partnerships, brand deals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</si>
</sst>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\$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9A84C"/>
      <name val="Arial"/>
      <family val="0"/>
      <charset val="1"/>
    </font>
    <font>
      <i val="true"/>
      <sz val="11"/>
      <color rgb="FFF2E8D6"/>
      <name val="Arial"/>
      <family val="0"/>
      <charset val="1"/>
    </font>
    <font>
      <b val="true"/>
      <sz val="12"/>
      <color rgb="FFD4433A"/>
      <name val="Arial"/>
      <family val="0"/>
      <charset val="1"/>
    </font>
    <font>
      <b val="true"/>
      <sz val="11"/>
      <color rgb="FFF2E8D6"/>
      <name val="Arial"/>
      <family val="0"/>
      <charset val="1"/>
    </font>
    <font>
      <sz val="10"/>
      <color rgb="FFF2E8D6"/>
      <name val="Arial"/>
      <family val="0"/>
      <charset val="1"/>
    </font>
    <font>
      <b val="true"/>
      <sz val="10"/>
      <color rgb="FFC9A84C"/>
      <name val="Arial"/>
      <family val="0"/>
      <charset val="1"/>
    </font>
    <font>
      <i val="true"/>
      <sz val="10"/>
      <color rgb="FFC9A84C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9999AA"/>
      <name val="Arial"/>
      <family val="0"/>
      <charset val="1"/>
    </font>
    <font>
      <b val="true"/>
      <sz val="10"/>
      <color rgb="FFD4433A"/>
      <name val="Arial"/>
      <family val="0"/>
      <charset val="1"/>
    </font>
    <font>
      <b val="true"/>
      <sz val="10"/>
      <color rgb="FF4ADE80"/>
      <name val="Arial"/>
      <family val="0"/>
      <charset val="1"/>
    </font>
    <font>
      <sz val="10"/>
      <color rgb="FFC084FC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0F23"/>
        <bgColor rgb="FF1A1024"/>
      </patternFill>
    </fill>
    <fill>
      <patternFill patternType="solid">
        <fgColor rgb="FF1A1A2E"/>
        <bgColor rgb="FF16213E"/>
      </patternFill>
    </fill>
    <fill>
      <patternFill patternType="solid">
        <fgColor rgb="FF1A1024"/>
        <bgColor rgb="FF0F0F23"/>
      </patternFill>
    </fill>
    <fill>
      <patternFill patternType="solid">
        <fgColor rgb="FF2D1F3D"/>
        <bgColor rgb="FF2A2A44"/>
      </patternFill>
    </fill>
    <fill>
      <patternFill patternType="solid">
        <fgColor rgb="FF16213E"/>
        <bgColor rgb="FF1A1A2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A2A44"/>
      </left>
      <right style="thin">
        <color rgb="FF2A2A44"/>
      </right>
      <top style="thin">
        <color rgb="FF2A2A44"/>
      </top>
      <bottom style="thin">
        <color rgb="FF2A2A4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F0F23"/>
      <rgbColor rgb="FF808000"/>
      <rgbColor rgb="FF800080"/>
      <rgbColor rgb="FF008080"/>
      <rgbColor rgb="FFC0C0C0"/>
      <rgbColor rgb="FF808080"/>
      <rgbColor rgb="FF9999FF"/>
      <rgbColor rgb="FFD4433A"/>
      <rgbColor rgb="FFF2E8D6"/>
      <rgbColor rgb="FFCCFFFF"/>
      <rgbColor rgb="FF660066"/>
      <rgbColor rgb="FFFF8080"/>
      <rgbColor rgb="FF0066CC"/>
      <rgbColor rgb="FFCCCCFF"/>
      <rgbColor rgb="FF1A1024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084FC"/>
      <rgbColor rgb="FFFFCC99"/>
      <rgbColor rgb="FF3366FF"/>
      <rgbColor rgb="FF4ADE80"/>
      <rgbColor rgb="FF99CC00"/>
      <rgbColor rgb="FFFFCC00"/>
      <rgbColor rgb="FFC9A84C"/>
      <rgbColor rgb="FFFF6600"/>
      <rgbColor rgb="FF666699"/>
      <rgbColor rgb="FF9999AA"/>
      <rgbColor rgb="FF16213E"/>
      <rgbColor rgb="FF339966"/>
      <rgbColor rgb="FF1A1A2E"/>
      <rgbColor rgb="FF2D1F3D"/>
      <rgbColor rgb="FF993300"/>
      <rgbColor rgb="FF993366"/>
      <rgbColor rgb="FF333399"/>
      <rgbColor rgb="FF2A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433A"/>
    <pageSetUpPr fitToPage="false"/>
  </sheetPr>
  <dimension ref="A1:G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40"/>
  </cols>
  <sheetData>
    <row r="1" customFormat="false" ht="34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</row>
    <row r="4" customFormat="false" ht="15" hidden="false" customHeight="true" outlineLevel="0" collapsed="false">
      <c r="A4" s="5" t="s">
        <v>2</v>
      </c>
      <c r="B4" s="5"/>
      <c r="C4" s="5"/>
      <c r="D4" s="5"/>
      <c r="E4" s="5"/>
      <c r="F4" s="5"/>
      <c r="G4" s="5"/>
    </row>
    <row r="5" customFormat="false" ht="27.75" hidden="false" customHeight="true" outlineLevel="0" collapsed="false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</row>
    <row r="6" customFormat="false" ht="27.75" hidden="false" customHeight="true" outlineLevel="0" collapsed="false">
      <c r="A6" s="7" t="s">
        <v>10</v>
      </c>
      <c r="B6" s="8" t="s">
        <v>11</v>
      </c>
      <c r="C6" s="8" t="s">
        <v>12</v>
      </c>
      <c r="D6" s="9" t="s">
        <v>13</v>
      </c>
      <c r="E6" s="8" t="s">
        <v>14</v>
      </c>
      <c r="F6" s="8" t="s">
        <v>15</v>
      </c>
      <c r="G6" s="7" t="s">
        <v>16</v>
      </c>
    </row>
    <row r="7" customFormat="false" ht="27.75" hidden="false" customHeight="true" outlineLevel="0" collapsed="false">
      <c r="A7" s="10" t="s">
        <v>17</v>
      </c>
      <c r="B7" s="11" t="s">
        <v>18</v>
      </c>
      <c r="C7" s="11" t="s">
        <v>19</v>
      </c>
      <c r="D7" s="12" t="s">
        <v>20</v>
      </c>
      <c r="E7" s="11" t="s">
        <v>21</v>
      </c>
      <c r="F7" s="11" t="s">
        <v>22</v>
      </c>
      <c r="G7" s="10" t="s">
        <v>23</v>
      </c>
    </row>
    <row r="8" customFormat="false" ht="27.75" hidden="false" customHeight="true" outlineLevel="0" collapsed="false">
      <c r="A8" s="7" t="s">
        <v>24</v>
      </c>
      <c r="B8" s="8" t="s">
        <v>25</v>
      </c>
      <c r="C8" s="8" t="s">
        <v>26</v>
      </c>
      <c r="D8" s="9" t="s">
        <v>27</v>
      </c>
      <c r="E8" s="8" t="s">
        <v>28</v>
      </c>
      <c r="F8" s="8" t="s">
        <v>29</v>
      </c>
      <c r="G8" s="7" t="s">
        <v>30</v>
      </c>
    </row>
    <row r="9" customFormat="false" ht="27.75" hidden="false" customHeight="true" outlineLevel="0" collapsed="false">
      <c r="A9" s="10" t="s">
        <v>31</v>
      </c>
      <c r="B9" s="11" t="s">
        <v>32</v>
      </c>
      <c r="C9" s="11" t="s">
        <v>33</v>
      </c>
      <c r="D9" s="12" t="s">
        <v>34</v>
      </c>
      <c r="E9" s="11" t="s">
        <v>35</v>
      </c>
      <c r="F9" s="11" t="s">
        <v>36</v>
      </c>
      <c r="G9" s="10" t="s">
        <v>37</v>
      </c>
    </row>
    <row r="10" customFormat="false" ht="27.75" hidden="false" customHeight="true" outlineLevel="0" collapsed="false">
      <c r="A10" s="7" t="s">
        <v>38</v>
      </c>
      <c r="B10" s="8" t="s">
        <v>39</v>
      </c>
      <c r="C10" s="8" t="s">
        <v>40</v>
      </c>
      <c r="D10" s="9" t="s">
        <v>41</v>
      </c>
      <c r="E10" s="8" t="s">
        <v>21</v>
      </c>
      <c r="F10" s="8" t="s">
        <v>15</v>
      </c>
      <c r="G10" s="7" t="s">
        <v>42</v>
      </c>
    </row>
    <row r="11" customFormat="false" ht="27.75" hidden="false" customHeight="true" outlineLevel="0" collapsed="false">
      <c r="A11" s="4"/>
      <c r="B11" s="4"/>
      <c r="C11" s="4"/>
      <c r="D11" s="4"/>
      <c r="E11" s="4"/>
      <c r="F11" s="4"/>
      <c r="G11" s="4"/>
    </row>
    <row r="12" customFormat="false" ht="27.75" hidden="false" customHeight="true" outlineLevel="0" collapsed="false">
      <c r="A12" s="5" t="s">
        <v>43</v>
      </c>
      <c r="B12" s="5"/>
      <c r="C12" s="5"/>
      <c r="D12" s="5"/>
      <c r="E12" s="5"/>
      <c r="F12" s="5"/>
      <c r="G12" s="5"/>
    </row>
    <row r="13" customFormat="false" ht="27.75" hidden="false" customHeight="true" outlineLevel="0" collapsed="false">
      <c r="A13" s="6" t="s">
        <v>3</v>
      </c>
      <c r="B13" s="6" t="s">
        <v>4</v>
      </c>
      <c r="C13" s="6" t="s">
        <v>5</v>
      </c>
      <c r="D13" s="6" t="s">
        <v>6</v>
      </c>
      <c r="E13" s="6" t="s">
        <v>7</v>
      </c>
      <c r="F13" s="6" t="s">
        <v>8</v>
      </c>
      <c r="G13" s="6" t="s">
        <v>9</v>
      </c>
    </row>
    <row r="14" customFormat="false" ht="27.75" hidden="false" customHeight="true" outlineLevel="0" collapsed="false">
      <c r="A14" s="7" t="s">
        <v>44</v>
      </c>
      <c r="B14" s="8" t="s">
        <v>45</v>
      </c>
      <c r="C14" s="8" t="s">
        <v>46</v>
      </c>
      <c r="D14" s="9" t="s">
        <v>47</v>
      </c>
      <c r="E14" s="8" t="s">
        <v>48</v>
      </c>
      <c r="F14" s="8" t="s">
        <v>49</v>
      </c>
      <c r="G14" s="7" t="s">
        <v>50</v>
      </c>
    </row>
    <row r="15" customFormat="false" ht="27.75" hidden="false" customHeight="true" outlineLevel="0" collapsed="false">
      <c r="A15" s="10" t="s">
        <v>51</v>
      </c>
      <c r="B15" s="11" t="s">
        <v>32</v>
      </c>
      <c r="C15" s="11" t="s">
        <v>52</v>
      </c>
      <c r="D15" s="12" t="s">
        <v>53</v>
      </c>
      <c r="E15" s="11" t="s">
        <v>54</v>
      </c>
      <c r="F15" s="11" t="s">
        <v>15</v>
      </c>
      <c r="G15" s="10" t="s">
        <v>55</v>
      </c>
    </row>
    <row r="16" customFormat="false" ht="27.75" hidden="false" customHeight="true" outlineLevel="0" collapsed="false">
      <c r="A16" s="7" t="s">
        <v>56</v>
      </c>
      <c r="B16" s="8" t="s">
        <v>57</v>
      </c>
      <c r="C16" s="8" t="s">
        <v>58</v>
      </c>
      <c r="D16" s="9" t="s">
        <v>59</v>
      </c>
      <c r="E16" s="8" t="s">
        <v>21</v>
      </c>
      <c r="F16" s="8" t="s">
        <v>60</v>
      </c>
      <c r="G16" s="7" t="s">
        <v>61</v>
      </c>
    </row>
    <row r="17" customFormat="false" ht="27.75" hidden="false" customHeight="true" outlineLevel="0" collapsed="false">
      <c r="A17" s="10" t="s">
        <v>62</v>
      </c>
      <c r="B17" s="11" t="s">
        <v>63</v>
      </c>
      <c r="C17" s="11" t="s">
        <v>64</v>
      </c>
      <c r="D17" s="12" t="s">
        <v>65</v>
      </c>
      <c r="E17" s="11" t="s">
        <v>66</v>
      </c>
      <c r="F17" s="11" t="s">
        <v>67</v>
      </c>
      <c r="G17" s="10" t="s">
        <v>68</v>
      </c>
    </row>
    <row r="18" customFormat="false" ht="27.75" hidden="false" customHeight="true" outlineLevel="0" collapsed="false">
      <c r="A18" s="7" t="s">
        <v>69</v>
      </c>
      <c r="B18" s="8" t="s">
        <v>70</v>
      </c>
      <c r="C18" s="8" t="s">
        <v>46</v>
      </c>
      <c r="D18" s="9" t="s">
        <v>71</v>
      </c>
      <c r="E18" s="8" t="s">
        <v>72</v>
      </c>
      <c r="F18" s="8" t="s">
        <v>49</v>
      </c>
      <c r="G18" s="7" t="s">
        <v>73</v>
      </c>
    </row>
    <row r="19" customFormat="false" ht="27.75" hidden="false" customHeight="true" outlineLevel="0" collapsed="false">
      <c r="A19" s="10" t="s">
        <v>74</v>
      </c>
      <c r="B19" s="11" t="s">
        <v>75</v>
      </c>
      <c r="C19" s="11" t="s">
        <v>76</v>
      </c>
      <c r="D19" s="12" t="s">
        <v>65</v>
      </c>
      <c r="E19" s="11" t="s">
        <v>77</v>
      </c>
      <c r="F19" s="11" t="s">
        <v>29</v>
      </c>
      <c r="G19" s="10" t="s">
        <v>78</v>
      </c>
    </row>
    <row r="20" customFormat="false" ht="27.75" hidden="false" customHeight="true" outlineLevel="0" collapsed="false">
      <c r="A20" s="4"/>
      <c r="B20" s="4"/>
      <c r="C20" s="4"/>
      <c r="D20" s="4"/>
      <c r="E20" s="4"/>
      <c r="F20" s="4"/>
      <c r="G20" s="4"/>
    </row>
    <row r="21" customFormat="false" ht="27.75" hidden="false" customHeight="true" outlineLevel="0" collapsed="false">
      <c r="A21" s="5" t="s">
        <v>79</v>
      </c>
      <c r="B21" s="5"/>
      <c r="C21" s="5"/>
      <c r="D21" s="5"/>
      <c r="E21" s="5"/>
      <c r="F21" s="5"/>
      <c r="G21" s="5"/>
    </row>
    <row r="22" customFormat="false" ht="27.75" hidden="false" customHeight="true" outlineLevel="0" collapsed="false">
      <c r="A22" s="6" t="s">
        <v>3</v>
      </c>
      <c r="B22" s="6" t="s">
        <v>4</v>
      </c>
      <c r="C22" s="6" t="s">
        <v>5</v>
      </c>
      <c r="D22" s="6" t="s">
        <v>6</v>
      </c>
      <c r="E22" s="6" t="s">
        <v>7</v>
      </c>
      <c r="F22" s="6" t="s">
        <v>8</v>
      </c>
      <c r="G22" s="6" t="s">
        <v>9</v>
      </c>
    </row>
    <row r="23" customFormat="false" ht="27.75" hidden="false" customHeight="true" outlineLevel="0" collapsed="false">
      <c r="A23" s="7" t="s">
        <v>80</v>
      </c>
      <c r="B23" s="8" t="s">
        <v>81</v>
      </c>
      <c r="C23" s="8" t="s">
        <v>82</v>
      </c>
      <c r="D23" s="9" t="s">
        <v>83</v>
      </c>
      <c r="E23" s="8" t="s">
        <v>84</v>
      </c>
      <c r="F23" s="8" t="s">
        <v>60</v>
      </c>
      <c r="G23" s="7" t="s">
        <v>85</v>
      </c>
    </row>
    <row r="24" customFormat="false" ht="27.75" hidden="false" customHeight="true" outlineLevel="0" collapsed="false">
      <c r="A24" s="10" t="s">
        <v>86</v>
      </c>
      <c r="B24" s="11" t="s">
        <v>45</v>
      </c>
      <c r="C24" s="11" t="s">
        <v>87</v>
      </c>
      <c r="D24" s="12" t="s">
        <v>88</v>
      </c>
      <c r="E24" s="11" t="s">
        <v>89</v>
      </c>
      <c r="F24" s="11" t="s">
        <v>90</v>
      </c>
      <c r="G24" s="10" t="s">
        <v>91</v>
      </c>
    </row>
    <row r="25" customFormat="false" ht="27.75" hidden="false" customHeight="true" outlineLevel="0" collapsed="false">
      <c r="A25" s="7" t="s">
        <v>92</v>
      </c>
      <c r="B25" s="8" t="s">
        <v>93</v>
      </c>
      <c r="C25" s="8" t="s">
        <v>94</v>
      </c>
      <c r="D25" s="9" t="s">
        <v>95</v>
      </c>
      <c r="E25" s="8" t="s">
        <v>96</v>
      </c>
      <c r="F25" s="8" t="s">
        <v>29</v>
      </c>
      <c r="G25" s="7" t="s">
        <v>97</v>
      </c>
    </row>
    <row r="26" customFormat="false" ht="27.75" hidden="false" customHeight="true" outlineLevel="0" collapsed="false">
      <c r="A26" s="10" t="s">
        <v>98</v>
      </c>
      <c r="B26" s="11" t="s">
        <v>99</v>
      </c>
      <c r="C26" s="11" t="s">
        <v>58</v>
      </c>
      <c r="D26" s="12" t="s">
        <v>100</v>
      </c>
      <c r="E26" s="11" t="s">
        <v>101</v>
      </c>
      <c r="F26" s="11" t="s">
        <v>102</v>
      </c>
      <c r="G26" s="10" t="s">
        <v>103</v>
      </c>
    </row>
    <row r="27" customFormat="false" ht="27.75" hidden="false" customHeight="true" outlineLevel="0" collapsed="false">
      <c r="A27" s="7" t="s">
        <v>104</v>
      </c>
      <c r="B27" s="8" t="s">
        <v>99</v>
      </c>
      <c r="C27" s="8" t="s">
        <v>105</v>
      </c>
      <c r="D27" s="9" t="s">
        <v>106</v>
      </c>
      <c r="E27" s="8" t="s">
        <v>107</v>
      </c>
      <c r="F27" s="8" t="s">
        <v>15</v>
      </c>
      <c r="G27" s="7" t="s">
        <v>108</v>
      </c>
    </row>
    <row r="28" customFormat="false" ht="27.75" hidden="false" customHeight="true" outlineLevel="0" collapsed="false">
      <c r="A28" s="10" t="s">
        <v>109</v>
      </c>
      <c r="B28" s="11" t="s">
        <v>99</v>
      </c>
      <c r="C28" s="11" t="s">
        <v>110</v>
      </c>
      <c r="D28" s="12" t="s">
        <v>111</v>
      </c>
      <c r="E28" s="11" t="s">
        <v>112</v>
      </c>
      <c r="F28" s="11" t="s">
        <v>113</v>
      </c>
      <c r="G28" s="10" t="s">
        <v>114</v>
      </c>
    </row>
    <row r="29" customFormat="false" ht="27.75" hidden="false" customHeight="true" outlineLevel="0" collapsed="false">
      <c r="A29" s="7" t="s">
        <v>115</v>
      </c>
      <c r="B29" s="8" t="s">
        <v>99</v>
      </c>
      <c r="C29" s="8" t="s">
        <v>46</v>
      </c>
      <c r="D29" s="9" t="s">
        <v>116</v>
      </c>
      <c r="E29" s="8" t="s">
        <v>117</v>
      </c>
      <c r="F29" s="8" t="s">
        <v>60</v>
      </c>
      <c r="G29" s="7" t="s">
        <v>118</v>
      </c>
    </row>
    <row r="30" customFormat="false" ht="27.75" hidden="false" customHeight="true" outlineLevel="0" collapsed="false">
      <c r="A30" s="10" t="s">
        <v>119</v>
      </c>
      <c r="B30" s="11" t="s">
        <v>99</v>
      </c>
      <c r="C30" s="11" t="s">
        <v>120</v>
      </c>
      <c r="D30" s="12" t="s">
        <v>121</v>
      </c>
      <c r="E30" s="11" t="s">
        <v>122</v>
      </c>
      <c r="F30" s="11" t="s">
        <v>123</v>
      </c>
      <c r="G30" s="10" t="s">
        <v>124</v>
      </c>
    </row>
    <row r="31" customFormat="false" ht="27.75" hidden="false" customHeight="true" outlineLevel="0" collapsed="false">
      <c r="A31" s="7" t="s">
        <v>125</v>
      </c>
      <c r="B31" s="8" t="s">
        <v>126</v>
      </c>
      <c r="C31" s="8" t="s">
        <v>127</v>
      </c>
      <c r="D31" s="9" t="s">
        <v>106</v>
      </c>
      <c r="E31" s="8" t="s">
        <v>128</v>
      </c>
      <c r="F31" s="8" t="s">
        <v>15</v>
      </c>
      <c r="G31" s="7" t="s">
        <v>129</v>
      </c>
    </row>
    <row r="32" customFormat="false" ht="27.75" hidden="false" customHeight="true" outlineLevel="0" collapsed="false">
      <c r="A32" s="10" t="s">
        <v>130</v>
      </c>
      <c r="B32" s="11" t="s">
        <v>131</v>
      </c>
      <c r="C32" s="11" t="s">
        <v>132</v>
      </c>
      <c r="D32" s="12" t="s">
        <v>121</v>
      </c>
      <c r="E32" s="11" t="s">
        <v>133</v>
      </c>
      <c r="F32" s="11" t="s">
        <v>29</v>
      </c>
      <c r="G32" s="10" t="s">
        <v>134</v>
      </c>
    </row>
    <row r="33" customFormat="false" ht="27.75" hidden="false" customHeight="true" outlineLevel="0" collapsed="false">
      <c r="A33" s="7" t="s">
        <v>135</v>
      </c>
      <c r="B33" s="8" t="s">
        <v>99</v>
      </c>
      <c r="C33" s="8" t="s">
        <v>136</v>
      </c>
      <c r="D33" s="9" t="s">
        <v>137</v>
      </c>
      <c r="E33" s="8" t="s">
        <v>112</v>
      </c>
      <c r="F33" s="8" t="s">
        <v>90</v>
      </c>
      <c r="G33" s="7" t="s">
        <v>138</v>
      </c>
    </row>
    <row r="34" customFormat="false" ht="27.75" hidden="false" customHeight="true" outlineLevel="0" collapsed="false">
      <c r="A34" s="10" t="s">
        <v>139</v>
      </c>
      <c r="B34" s="11" t="s">
        <v>140</v>
      </c>
      <c r="C34" s="11" t="s">
        <v>141</v>
      </c>
      <c r="D34" s="12" t="s">
        <v>142</v>
      </c>
      <c r="E34" s="11" t="s">
        <v>107</v>
      </c>
      <c r="F34" s="11" t="s">
        <v>90</v>
      </c>
      <c r="G34" s="10" t="s">
        <v>143</v>
      </c>
    </row>
    <row r="35" customFormat="false" ht="27.75" hidden="false" customHeight="true" outlineLevel="0" collapsed="false">
      <c r="A35" s="4"/>
      <c r="B35" s="4"/>
      <c r="C35" s="4"/>
      <c r="D35" s="4"/>
      <c r="E35" s="4"/>
      <c r="F35" s="4"/>
      <c r="G35" s="4"/>
    </row>
    <row r="36" customFormat="false" ht="15" hidden="false" customHeight="true" outlineLevel="0" collapsed="false">
      <c r="A36" s="13" t="s">
        <v>144</v>
      </c>
      <c r="B36" s="13"/>
      <c r="C36" s="13"/>
      <c r="D36" s="13"/>
      <c r="E36" s="13"/>
      <c r="F36" s="13"/>
      <c r="G36" s="13"/>
    </row>
    <row r="37" customFormat="false" ht="15" hidden="false" customHeight="true" outlineLevel="0" collapsed="false">
      <c r="A37" s="4"/>
      <c r="B37" s="4"/>
      <c r="C37" s="4"/>
      <c r="D37" s="4"/>
      <c r="E37" s="4"/>
      <c r="F37" s="4"/>
      <c r="G37" s="4"/>
    </row>
    <row r="38" customFormat="false" ht="15" hidden="false" customHeight="true" outlineLevel="0" collapsed="false">
      <c r="A38" s="4"/>
      <c r="B38" s="4"/>
      <c r="C38" s="4"/>
      <c r="D38" s="4"/>
      <c r="E38" s="4"/>
      <c r="F38" s="4"/>
      <c r="G38" s="4"/>
    </row>
    <row r="39" customFormat="false" ht="15" hidden="false" customHeight="true" outlineLevel="0" collapsed="false">
      <c r="A39" s="4"/>
      <c r="B39" s="4"/>
      <c r="C39" s="4"/>
      <c r="D39" s="4"/>
      <c r="E39" s="4"/>
      <c r="F39" s="4"/>
      <c r="G39" s="4"/>
    </row>
    <row r="40" customFormat="false" ht="15" hidden="false" customHeight="true" outlineLevel="0" collapsed="false">
      <c r="A40" s="4"/>
      <c r="B40" s="4"/>
      <c r="C40" s="4"/>
      <c r="D40" s="4"/>
      <c r="E40" s="4"/>
      <c r="F40" s="4"/>
      <c r="G40" s="4"/>
    </row>
    <row r="41" customFormat="false" ht="15" hidden="false" customHeight="true" outlineLevel="0" collapsed="false">
      <c r="A41" s="4"/>
      <c r="B41" s="4"/>
      <c r="C41" s="4"/>
      <c r="D41" s="4"/>
      <c r="E41" s="4"/>
      <c r="F41" s="4"/>
      <c r="G41" s="4"/>
    </row>
    <row r="42" customFormat="false" ht="15" hidden="false" customHeight="true" outlineLevel="0" collapsed="false">
      <c r="A42" s="4"/>
      <c r="B42" s="4"/>
      <c r="C42" s="4"/>
      <c r="D42" s="4"/>
      <c r="E42" s="4"/>
      <c r="F42" s="4"/>
      <c r="G42" s="4"/>
    </row>
    <row r="43" customFormat="false" ht="15" hidden="false" customHeight="true" outlineLevel="0" collapsed="false">
      <c r="A43" s="4"/>
      <c r="B43" s="4"/>
      <c r="C43" s="4"/>
      <c r="D43" s="4"/>
      <c r="E43" s="4"/>
      <c r="F43" s="4"/>
      <c r="G43" s="4"/>
    </row>
    <row r="44" customFormat="false" ht="15" hidden="false" customHeight="true" outlineLevel="0" collapsed="false">
      <c r="A44" s="4"/>
      <c r="B44" s="4"/>
      <c r="C44" s="4"/>
      <c r="D44" s="4"/>
      <c r="E44" s="4"/>
      <c r="F44" s="4"/>
      <c r="G44" s="4"/>
    </row>
    <row r="45" customFormat="false" ht="15" hidden="false" customHeight="true" outlineLevel="0" collapsed="false">
      <c r="A45" s="4"/>
      <c r="B45" s="4"/>
      <c r="C45" s="4"/>
      <c r="D45" s="4"/>
      <c r="E45" s="4"/>
      <c r="F45" s="4"/>
      <c r="G45" s="4"/>
    </row>
    <row r="46" customFormat="false" ht="15" hidden="false" customHeight="true" outlineLevel="0" collapsed="false">
      <c r="A46" s="4"/>
      <c r="B46" s="4"/>
      <c r="C46" s="4"/>
      <c r="D46" s="4"/>
      <c r="E46" s="4"/>
      <c r="F46" s="4"/>
      <c r="G46" s="4"/>
    </row>
    <row r="47" customFormat="false" ht="15" hidden="false" customHeight="true" outlineLevel="0" collapsed="false">
      <c r="A47" s="4"/>
      <c r="B47" s="4"/>
      <c r="C47" s="4"/>
      <c r="D47" s="4"/>
      <c r="E47" s="4"/>
      <c r="F47" s="4"/>
      <c r="G47" s="4"/>
    </row>
    <row r="48" customFormat="false" ht="15" hidden="false" customHeight="true" outlineLevel="0" collapsed="false">
      <c r="A48" s="4"/>
      <c r="B48" s="4"/>
      <c r="C48" s="4"/>
      <c r="D48" s="4"/>
      <c r="E48" s="4"/>
      <c r="F48" s="4"/>
      <c r="G48" s="4"/>
    </row>
    <row r="49" customFormat="false" ht="15" hidden="false" customHeight="true" outlineLevel="0" collapsed="false">
      <c r="A49" s="4"/>
      <c r="B49" s="4"/>
      <c r="C49" s="4"/>
      <c r="D49" s="4"/>
      <c r="E49" s="4"/>
      <c r="F49" s="4"/>
      <c r="G49" s="4"/>
    </row>
    <row r="50" customFormat="false" ht="15" hidden="false" customHeight="true" outlineLevel="0" collapsed="false">
      <c r="A50" s="4"/>
      <c r="B50" s="4"/>
      <c r="C50" s="4"/>
      <c r="D50" s="4"/>
      <c r="E50" s="4"/>
      <c r="F50" s="4"/>
      <c r="G50" s="4"/>
    </row>
    <row r="51" customFormat="false" ht="15" hidden="false" customHeight="true" outlineLevel="0" collapsed="false">
      <c r="A51" s="4"/>
      <c r="B51" s="4"/>
      <c r="C51" s="4"/>
      <c r="D51" s="4"/>
      <c r="E51" s="4"/>
      <c r="F51" s="4"/>
      <c r="G51" s="4"/>
    </row>
    <row r="52" customFormat="false" ht="15" hidden="false" customHeight="true" outlineLevel="0" collapsed="false">
      <c r="A52" s="4"/>
      <c r="B52" s="4"/>
      <c r="C52" s="4"/>
      <c r="D52" s="4"/>
      <c r="E52" s="4"/>
      <c r="F52" s="4"/>
      <c r="G52" s="4"/>
    </row>
    <row r="53" customFormat="false" ht="15" hidden="false" customHeight="true" outlineLevel="0" collapsed="false">
      <c r="A53" s="4"/>
      <c r="B53" s="4"/>
      <c r="C53" s="4"/>
      <c r="D53" s="4"/>
      <c r="E53" s="4"/>
      <c r="F53" s="4"/>
      <c r="G53" s="4"/>
    </row>
    <row r="54" customFormat="false" ht="15" hidden="false" customHeight="true" outlineLevel="0" collapsed="false">
      <c r="A54" s="4"/>
      <c r="B54" s="4"/>
      <c r="C54" s="4"/>
      <c r="D54" s="4"/>
      <c r="E54" s="4"/>
      <c r="F54" s="4"/>
      <c r="G54" s="4"/>
    </row>
    <row r="55" customFormat="false" ht="15" hidden="false" customHeight="true" outlineLevel="0" collapsed="false">
      <c r="A55" s="4"/>
      <c r="B55" s="4"/>
      <c r="C55" s="4"/>
      <c r="D55" s="4"/>
      <c r="E55" s="4"/>
      <c r="F55" s="4"/>
      <c r="G55" s="4"/>
    </row>
    <row r="56" customFormat="false" ht="15" hidden="false" customHeight="true" outlineLevel="0" collapsed="false">
      <c r="A56" s="4"/>
      <c r="B56" s="4"/>
      <c r="C56" s="4"/>
      <c r="D56" s="4"/>
      <c r="E56" s="4"/>
      <c r="F56" s="4"/>
      <c r="G56" s="4"/>
    </row>
    <row r="57" customFormat="false" ht="15" hidden="false" customHeight="true" outlineLevel="0" collapsed="false">
      <c r="A57" s="4"/>
      <c r="B57" s="4"/>
      <c r="C57" s="4"/>
      <c r="D57" s="4"/>
      <c r="E57" s="4"/>
      <c r="F57" s="4"/>
      <c r="G57" s="4"/>
    </row>
    <row r="58" customFormat="false" ht="15" hidden="false" customHeight="true" outlineLevel="0" collapsed="false">
      <c r="A58" s="4"/>
      <c r="B58" s="4"/>
      <c r="C58" s="4"/>
      <c r="D58" s="4"/>
      <c r="E58" s="4"/>
      <c r="F58" s="4"/>
      <c r="G58" s="4"/>
    </row>
    <row r="59" customFormat="false" ht="15" hidden="false" customHeight="true" outlineLevel="0" collapsed="false">
      <c r="A59" s="4"/>
      <c r="B59" s="4"/>
      <c r="C59" s="4"/>
      <c r="D59" s="4"/>
      <c r="E59" s="4"/>
      <c r="F59" s="4"/>
      <c r="G59" s="4"/>
    </row>
    <row r="60" customFormat="false" ht="15" hidden="false" customHeight="true" outlineLevel="0" collapsed="false">
      <c r="A60" s="4"/>
      <c r="B60" s="4"/>
      <c r="C60" s="4"/>
      <c r="D60" s="4"/>
      <c r="E60" s="4"/>
      <c r="F60" s="4"/>
      <c r="G60" s="4"/>
    </row>
  </sheetData>
  <mergeCells count="6">
    <mergeCell ref="A1:G1"/>
    <mergeCell ref="A2:G2"/>
    <mergeCell ref="A4:G4"/>
    <mergeCell ref="A12:G12"/>
    <mergeCell ref="A21:G21"/>
    <mergeCell ref="A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G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50"/>
    <col collapsed="false" customWidth="true" hidden="false" outlineLevel="0" max="7" min="4" style="1" width="16"/>
  </cols>
  <sheetData>
    <row r="1" customFormat="false" ht="34.5" hidden="false" customHeight="true" outlineLevel="0" collapsed="false">
      <c r="A1" s="2" t="s">
        <v>145</v>
      </c>
      <c r="B1" s="2"/>
      <c r="C1" s="2"/>
      <c r="D1" s="2"/>
      <c r="E1" s="2"/>
      <c r="F1" s="2"/>
      <c r="G1" s="2"/>
    </row>
    <row r="2" customFormat="false" ht="21.75" hidden="false" customHeight="true" outlineLevel="0" collapsed="false">
      <c r="A2" s="3" t="s">
        <v>146</v>
      </c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</row>
    <row r="4" customFormat="false" ht="15" hidden="false" customHeight="true" outlineLevel="0" collapsed="false">
      <c r="A4" s="5" t="s">
        <v>147</v>
      </c>
      <c r="B4" s="5"/>
      <c r="C4" s="5"/>
      <c r="D4" s="5"/>
      <c r="E4" s="5"/>
      <c r="F4" s="5"/>
      <c r="G4" s="5"/>
    </row>
    <row r="5" customFormat="false" ht="24" hidden="false" customHeight="true" outlineLevel="0" collapsed="false">
      <c r="A5" s="6" t="s">
        <v>148</v>
      </c>
      <c r="B5" s="6" t="s">
        <v>149</v>
      </c>
      <c r="C5" s="6" t="s">
        <v>150</v>
      </c>
      <c r="D5" s="4"/>
      <c r="E5" s="4"/>
      <c r="F5" s="4"/>
      <c r="G5" s="4"/>
    </row>
    <row r="6" customFormat="false" ht="24" hidden="false" customHeight="true" outlineLevel="0" collapsed="false">
      <c r="A6" s="7" t="s">
        <v>151</v>
      </c>
      <c r="B6" s="14" t="n">
        <v>5000</v>
      </c>
      <c r="C6" s="15" t="s">
        <v>152</v>
      </c>
      <c r="D6" s="4"/>
      <c r="E6" s="4"/>
      <c r="F6" s="4"/>
      <c r="G6" s="4"/>
    </row>
    <row r="7" customFormat="false" ht="24" hidden="false" customHeight="true" outlineLevel="0" collapsed="false">
      <c r="A7" s="10" t="s">
        <v>153</v>
      </c>
      <c r="B7" s="16" t="n">
        <v>0.12</v>
      </c>
      <c r="C7" s="17" t="s">
        <v>154</v>
      </c>
      <c r="D7" s="4"/>
      <c r="E7" s="4"/>
      <c r="F7" s="4"/>
      <c r="G7" s="4"/>
    </row>
    <row r="8" customFormat="false" ht="24" hidden="false" customHeight="true" outlineLevel="0" collapsed="false">
      <c r="A8" s="7" t="s">
        <v>155</v>
      </c>
      <c r="B8" s="16" t="n">
        <v>0.025</v>
      </c>
      <c r="C8" s="15" t="s">
        <v>156</v>
      </c>
      <c r="D8" s="4"/>
      <c r="E8" s="4"/>
      <c r="F8" s="4"/>
      <c r="G8" s="4"/>
    </row>
    <row r="9" customFormat="false" ht="24" hidden="false" customHeight="true" outlineLevel="0" collapsed="false">
      <c r="A9" s="10" t="s">
        <v>157</v>
      </c>
      <c r="B9" s="14" t="n">
        <v>5</v>
      </c>
      <c r="C9" s="17" t="s">
        <v>158</v>
      </c>
      <c r="D9" s="4"/>
      <c r="E9" s="4"/>
      <c r="F9" s="4"/>
      <c r="G9" s="4"/>
    </row>
    <row r="10" customFormat="false" ht="24" hidden="false" customHeight="true" outlineLevel="0" collapsed="false">
      <c r="A10" s="7" t="s">
        <v>159</v>
      </c>
      <c r="B10" s="14" t="n">
        <v>10</v>
      </c>
      <c r="C10" s="15" t="s">
        <v>160</v>
      </c>
      <c r="D10" s="4"/>
      <c r="E10" s="4"/>
      <c r="F10" s="4"/>
      <c r="G10" s="4"/>
    </row>
    <row r="11" customFormat="false" ht="24" hidden="false" customHeight="true" outlineLevel="0" collapsed="false">
      <c r="A11" s="10" t="s">
        <v>161</v>
      </c>
      <c r="B11" s="14" t="n">
        <v>50</v>
      </c>
      <c r="C11" s="17" t="s">
        <v>162</v>
      </c>
      <c r="D11" s="4"/>
      <c r="E11" s="4"/>
      <c r="F11" s="4"/>
      <c r="G11" s="4"/>
    </row>
    <row r="12" customFormat="false" ht="24" hidden="false" customHeight="true" outlineLevel="0" collapsed="false">
      <c r="A12" s="7" t="s">
        <v>163</v>
      </c>
      <c r="B12" s="16" t="n">
        <v>0.6</v>
      </c>
      <c r="C12" s="15" t="s">
        <v>164</v>
      </c>
      <c r="D12" s="4"/>
      <c r="E12" s="4"/>
      <c r="F12" s="4"/>
      <c r="G12" s="4"/>
    </row>
    <row r="13" customFormat="false" ht="24" hidden="false" customHeight="true" outlineLevel="0" collapsed="false">
      <c r="A13" s="10" t="s">
        <v>165</v>
      </c>
      <c r="B13" s="16" t="n">
        <v>0.25</v>
      </c>
      <c r="C13" s="17" t="s">
        <v>166</v>
      </c>
      <c r="D13" s="4"/>
      <c r="E13" s="4"/>
      <c r="F13" s="4"/>
      <c r="G13" s="4"/>
    </row>
    <row r="14" customFormat="false" ht="24" hidden="false" customHeight="true" outlineLevel="0" collapsed="false">
      <c r="A14" s="7" t="s">
        <v>167</v>
      </c>
      <c r="B14" s="16" t="n">
        <v>0.15</v>
      </c>
      <c r="C14" s="15" t="s">
        <v>168</v>
      </c>
      <c r="D14" s="4"/>
      <c r="E14" s="4"/>
      <c r="F14" s="4"/>
      <c r="G14" s="4"/>
    </row>
    <row r="15" customFormat="false" ht="24" hidden="false" customHeight="true" outlineLevel="0" collapsed="false">
      <c r="A15" s="10" t="s">
        <v>169</v>
      </c>
      <c r="B15" s="16" t="n">
        <v>0.08</v>
      </c>
      <c r="C15" s="17" t="s">
        <v>170</v>
      </c>
      <c r="D15" s="4"/>
      <c r="E15" s="4"/>
      <c r="F15" s="4"/>
      <c r="G15" s="4"/>
    </row>
    <row r="16" customFormat="false" ht="24" hidden="false" customHeight="true" outlineLevel="0" collapsed="false">
      <c r="A16" s="7" t="s">
        <v>171</v>
      </c>
      <c r="B16" s="16" t="n">
        <v>0.05</v>
      </c>
      <c r="C16" s="15" t="s">
        <v>172</v>
      </c>
      <c r="D16" s="4"/>
      <c r="E16" s="4"/>
      <c r="F16" s="4"/>
      <c r="G16" s="4"/>
    </row>
    <row r="17" customFormat="false" ht="24" hidden="false" customHeight="true" outlineLevel="0" collapsed="false">
      <c r="A17" s="10" t="s">
        <v>173</v>
      </c>
      <c r="B17" s="14" t="n">
        <v>3.5</v>
      </c>
      <c r="C17" s="17" t="s">
        <v>174</v>
      </c>
      <c r="D17" s="4"/>
      <c r="E17" s="4"/>
      <c r="F17" s="4"/>
      <c r="G17" s="4"/>
    </row>
    <row r="18" customFormat="false" ht="24" hidden="false" customHeight="true" outlineLevel="0" collapsed="false">
      <c r="A18" s="7" t="s">
        <v>175</v>
      </c>
      <c r="B18" s="14" t="n">
        <v>4</v>
      </c>
      <c r="C18" s="15" t="s">
        <v>176</v>
      </c>
      <c r="D18" s="4"/>
      <c r="E18" s="4"/>
      <c r="F18" s="4"/>
      <c r="G18" s="4"/>
    </row>
    <row r="19" customFormat="false" ht="24" hidden="false" customHeight="true" outlineLevel="0" collapsed="false">
      <c r="A19" s="10" t="s">
        <v>177</v>
      </c>
      <c r="B19" s="14" t="n">
        <v>50</v>
      </c>
      <c r="C19" s="17" t="s">
        <v>178</v>
      </c>
      <c r="D19" s="4"/>
      <c r="E19" s="4"/>
      <c r="F19" s="4"/>
      <c r="G19" s="4"/>
    </row>
    <row r="20" customFormat="false" ht="24" hidden="false" customHeight="true" outlineLevel="0" collapsed="false">
      <c r="A20" s="7" t="s">
        <v>179</v>
      </c>
      <c r="B20" s="16" t="n">
        <v>0.05</v>
      </c>
      <c r="C20" s="15" t="s">
        <v>180</v>
      </c>
      <c r="D20" s="4"/>
      <c r="E20" s="4"/>
      <c r="F20" s="4"/>
      <c r="G20" s="4"/>
    </row>
    <row r="21" customFormat="false" ht="24" hidden="false" customHeight="true" outlineLevel="0" collapsed="false">
      <c r="A21" s="10" t="s">
        <v>181</v>
      </c>
      <c r="B21" s="14" t="n">
        <v>200</v>
      </c>
      <c r="C21" s="17" t="s">
        <v>182</v>
      </c>
      <c r="D21" s="4"/>
      <c r="E21" s="4"/>
      <c r="F21" s="4"/>
      <c r="G21" s="4"/>
    </row>
    <row r="22" customFormat="false" ht="24" hidden="false" customHeight="true" outlineLevel="0" collapsed="false">
      <c r="A22" s="7" t="s">
        <v>183</v>
      </c>
      <c r="B22" s="14" t="n">
        <v>150</v>
      </c>
      <c r="C22" s="15" t="s">
        <v>184</v>
      </c>
      <c r="D22" s="4"/>
      <c r="E22" s="4"/>
      <c r="F22" s="4"/>
      <c r="G22" s="4"/>
    </row>
    <row r="23" customFormat="false" ht="24" hidden="false" customHeight="true" outlineLevel="0" collapsed="false">
      <c r="A23" s="4"/>
      <c r="B23" s="4"/>
      <c r="C23" s="4"/>
      <c r="D23" s="4"/>
      <c r="E23" s="4"/>
      <c r="F23" s="4"/>
      <c r="G23" s="4"/>
    </row>
    <row r="24" customFormat="false" ht="24" hidden="false" customHeight="true" outlineLevel="0" collapsed="false">
      <c r="A24" s="4"/>
      <c r="B24" s="4"/>
      <c r="C24" s="4"/>
      <c r="D24" s="4"/>
      <c r="E24" s="4"/>
      <c r="F24" s="4"/>
      <c r="G24" s="4"/>
    </row>
    <row r="25" customFormat="false" ht="24" hidden="false" customHeight="true" outlineLevel="0" collapsed="false">
      <c r="A25" s="5" t="s">
        <v>185</v>
      </c>
      <c r="B25" s="5"/>
      <c r="C25" s="5"/>
      <c r="D25" s="5"/>
      <c r="E25" s="5"/>
      <c r="F25" s="5"/>
      <c r="G25" s="5"/>
    </row>
    <row r="26" customFormat="false" ht="24" hidden="false" customHeight="true" outlineLevel="0" collapsed="false">
      <c r="A26" s="6" t="s">
        <v>186</v>
      </c>
      <c r="B26" s="6" t="s">
        <v>187</v>
      </c>
      <c r="C26" s="6" t="s">
        <v>188</v>
      </c>
      <c r="D26" s="6" t="s">
        <v>189</v>
      </c>
      <c r="E26" s="6" t="s">
        <v>190</v>
      </c>
      <c r="F26" s="6" t="s">
        <v>191</v>
      </c>
      <c r="G26" s="4"/>
    </row>
    <row r="27" customFormat="false" ht="24" hidden="false" customHeight="true" outlineLevel="0" collapsed="false">
      <c r="A27" s="7" t="s">
        <v>192</v>
      </c>
      <c r="B27" s="18" t="n">
        <f aca="false">ROUND(B6*(1+B7)^12,0)</f>
        <v>19480</v>
      </c>
      <c r="C27" s="18" t="n">
        <f aca="false">ROUND(B27*(1+B7*0.6)^12,0)</f>
        <v>44867</v>
      </c>
      <c r="D27" s="18" t="n">
        <f aca="false">ROUND(C27*(1+B7*0.6^2)^12,0)</f>
        <v>74531</v>
      </c>
      <c r="E27" s="18" t="n">
        <f aca="false">ROUND(D27*(1+B7*0.6^3)^12,0)</f>
        <v>101321</v>
      </c>
      <c r="F27" s="18" t="n">
        <f aca="false">ROUND(E27*(1+B7*0.6^4)^12,0)</f>
        <v>121934</v>
      </c>
      <c r="G27" s="4"/>
    </row>
    <row r="28" customFormat="false" ht="24" hidden="false" customHeight="true" outlineLevel="0" collapsed="false">
      <c r="A28" s="10" t="s">
        <v>193</v>
      </c>
      <c r="B28" s="19" t="n">
        <f aca="false">ROUND((B6+B27)/2*12*0.6,0)</f>
        <v>88128</v>
      </c>
      <c r="C28" s="19" t="n">
        <f aca="false">ROUND((B27+C27)/2*12*0.6,0)</f>
        <v>231649</v>
      </c>
      <c r="D28" s="19" t="n">
        <f aca="false">ROUND((C27+D27)/2*12*0.6,0)</f>
        <v>429833</v>
      </c>
      <c r="E28" s="19" t="n">
        <f aca="false">ROUND((D27+E27)/2*12*0.6,0)</f>
        <v>633067</v>
      </c>
      <c r="F28" s="19" t="n">
        <f aca="false">ROUND((E27+F27)/2*12*0.6,0)</f>
        <v>803718</v>
      </c>
      <c r="G28" s="4"/>
    </row>
    <row r="29" customFormat="false" ht="24" hidden="false" customHeight="true" outlineLevel="0" collapsed="false">
      <c r="A29" s="7" t="s">
        <v>194</v>
      </c>
      <c r="B29" s="18" t="n">
        <f aca="false">ROUND(B28*B8,0)</f>
        <v>2203</v>
      </c>
      <c r="C29" s="18" t="n">
        <f aca="false">ROUND(C28*B8,0)</f>
        <v>5791</v>
      </c>
      <c r="D29" s="18" t="n">
        <f aca="false">ROUND(D28*B8,0)</f>
        <v>10746</v>
      </c>
      <c r="E29" s="18" t="n">
        <f aca="false">ROUND(E28*B8,0)</f>
        <v>15827</v>
      </c>
      <c r="F29" s="18" t="n">
        <f aca="false">ROUND(F28*B8,0)</f>
        <v>20093</v>
      </c>
      <c r="G29" s="4"/>
    </row>
    <row r="30" customFormat="false" ht="24" hidden="false" customHeight="true" outlineLevel="0" collapsed="false">
      <c r="A30" s="10" t="s">
        <v>195</v>
      </c>
      <c r="B30" s="19" t="n">
        <f aca="false">ROUND(B29*B12*(1/(1+B15))*0.5,0)</f>
        <v>612</v>
      </c>
      <c r="C30" s="19" t="n">
        <f aca="false">ROUND(B30*(1-B15)^12+C29*B12*(1/(1+B15))*0.5,0)</f>
        <v>1834</v>
      </c>
      <c r="D30" s="19" t="n">
        <f aca="false">ROUND(C30*(1-B15)^12+D29*B12*(1/(1+B15))*0.5,0)</f>
        <v>3659</v>
      </c>
      <c r="E30" s="19" t="n">
        <f aca="false">ROUND(D30*(1-B15)^12+E29*B12*(1/(1+B15))*0.5,0)</f>
        <v>5742</v>
      </c>
      <c r="F30" s="19" t="n">
        <f aca="false">ROUND(E30*(1-B15)^12+F29*B12*(1/(1+B15))*0.5,0)</f>
        <v>7693</v>
      </c>
      <c r="G30" s="4"/>
    </row>
    <row r="31" customFormat="false" ht="24" hidden="false" customHeight="true" outlineLevel="0" collapsed="false">
      <c r="A31" s="7" t="s">
        <v>196</v>
      </c>
      <c r="B31" s="18" t="n">
        <f aca="false">ROUND(B29*B13*(1/(1+B16))*0.5,0)</f>
        <v>262</v>
      </c>
      <c r="C31" s="18" t="n">
        <f aca="false">ROUND(B31*(1-B16)^12+C29*B13*(1/(1+B16))*0.5,0)</f>
        <v>831</v>
      </c>
      <c r="D31" s="18" t="n">
        <f aca="false">ROUND(C31*(1-B16)^12+D29*B13*(1/(1+B16))*0.5,0)</f>
        <v>1728</v>
      </c>
      <c r="E31" s="18" t="n">
        <f aca="false">ROUND(D31*(1-B16)^12+E29*B13*(1/(1+B16))*0.5,0)</f>
        <v>2818</v>
      </c>
      <c r="F31" s="18" t="n">
        <f aca="false">ROUND(E31*(1-B16)^12+F29*B13*(1/(1+B16))*0.5,0)</f>
        <v>3915</v>
      </c>
      <c r="G31" s="4"/>
    </row>
    <row r="32" customFormat="false" ht="24" hidden="false" customHeight="true" outlineLevel="0" collapsed="false">
      <c r="A32" s="10" t="s">
        <v>197</v>
      </c>
      <c r="B32" s="19" t="n">
        <f aca="false">ROUND(B29*B14,0)</f>
        <v>330</v>
      </c>
      <c r="C32" s="19" t="n">
        <f aca="false">ROUND(C29*B14,0)</f>
        <v>869</v>
      </c>
      <c r="D32" s="19" t="n">
        <f aca="false">ROUND(D29*B14,0)</f>
        <v>1612</v>
      </c>
      <c r="E32" s="19" t="n">
        <f aca="false">ROUND(E29*B14,0)</f>
        <v>2374</v>
      </c>
      <c r="F32" s="19" t="n">
        <f aca="false">ROUND(F29*B14,0)</f>
        <v>3014</v>
      </c>
      <c r="G32" s="4"/>
    </row>
    <row r="33" customFormat="false" ht="24" hidden="false" customHeight="true" outlineLevel="0" collapsed="false">
      <c r="A33" s="15"/>
      <c r="B33" s="20"/>
      <c r="C33" s="20"/>
      <c r="D33" s="20"/>
      <c r="E33" s="20"/>
      <c r="F33" s="20"/>
      <c r="G33" s="4"/>
    </row>
    <row r="34" customFormat="false" ht="24" hidden="false" customHeight="true" outlineLevel="0" collapsed="false">
      <c r="A34" s="10" t="s">
        <v>198</v>
      </c>
      <c r="B34" s="21" t="n">
        <f aca="false">B30*B9*12+B31*B10*12</f>
        <v>68160</v>
      </c>
      <c r="C34" s="21" t="n">
        <f aca="false">C30*B9*12+C31*B10*12</f>
        <v>209760</v>
      </c>
      <c r="D34" s="21" t="n">
        <f aca="false">D30*B9*12+D31*B10*12</f>
        <v>426900</v>
      </c>
      <c r="E34" s="21" t="n">
        <f aca="false">E30*B9*12+E31*B10*12</f>
        <v>682680</v>
      </c>
      <c r="F34" s="21" t="n">
        <f aca="false">F30*B9*12+F31*B10*12</f>
        <v>931380</v>
      </c>
      <c r="G34" s="4"/>
    </row>
    <row r="35" customFormat="false" ht="24" hidden="false" customHeight="true" outlineLevel="0" collapsed="false">
      <c r="A35" s="7" t="s">
        <v>199</v>
      </c>
      <c r="B35" s="22" t="n">
        <f aca="false">B32*B11</f>
        <v>16500</v>
      </c>
      <c r="C35" s="22" t="n">
        <f aca="false">C32*B11</f>
        <v>43450</v>
      </c>
      <c r="D35" s="22" t="n">
        <f aca="false">D32*B11</f>
        <v>80600</v>
      </c>
      <c r="E35" s="22" t="n">
        <f aca="false">E32*B11</f>
        <v>118700</v>
      </c>
      <c r="F35" s="22" t="n">
        <f aca="false">F32*B11</f>
        <v>150700</v>
      </c>
      <c r="G35" s="4"/>
    </row>
    <row r="36" customFormat="false" ht="24" hidden="false" customHeight="true" outlineLevel="0" collapsed="false">
      <c r="A36" s="10" t="s">
        <v>200</v>
      </c>
      <c r="B36" s="21" t="n">
        <f aca="false">ROUND(B28*B18*B17/1000,0)</f>
        <v>1234</v>
      </c>
      <c r="C36" s="21" t="n">
        <f aca="false">ROUND(C28*B18*B17/1000,0)</f>
        <v>3243</v>
      </c>
      <c r="D36" s="21" t="n">
        <f aca="false">ROUND(D28*B18*B17/1000,0)</f>
        <v>6018</v>
      </c>
      <c r="E36" s="21" t="n">
        <f aca="false">ROUND(E28*B18*B17/1000,0)</f>
        <v>8863</v>
      </c>
      <c r="F36" s="21" t="n">
        <f aca="false">ROUND(F28*B18*B17/1000,0)</f>
        <v>11252</v>
      </c>
      <c r="G36" s="4"/>
    </row>
    <row r="37" customFormat="false" ht="24" hidden="false" customHeight="true" outlineLevel="0" collapsed="false">
      <c r="A37" s="23" t="s">
        <v>201</v>
      </c>
      <c r="B37" s="24" t="n">
        <f aca="false">B34+B35+B36</f>
        <v>85894</v>
      </c>
      <c r="C37" s="24" t="n">
        <f aca="false">C34+C35+C36</f>
        <v>256453</v>
      </c>
      <c r="D37" s="24" t="n">
        <f aca="false">D34+D35+D36</f>
        <v>513518</v>
      </c>
      <c r="E37" s="24" t="n">
        <f aca="false">E34+E35+E36</f>
        <v>810243</v>
      </c>
      <c r="F37" s="24" t="n">
        <f aca="false">F34+F35+F36</f>
        <v>1093332</v>
      </c>
      <c r="G37" s="4"/>
    </row>
    <row r="38" customFormat="false" ht="24" hidden="false" customHeight="true" outlineLevel="0" collapsed="false">
      <c r="A38" s="17"/>
      <c r="B38" s="25"/>
      <c r="C38" s="25"/>
      <c r="D38" s="25"/>
      <c r="E38" s="25"/>
      <c r="F38" s="25"/>
      <c r="G38" s="4"/>
    </row>
    <row r="39" customFormat="false" ht="24" hidden="false" customHeight="true" outlineLevel="0" collapsed="false">
      <c r="A39" s="7" t="s">
        <v>202</v>
      </c>
      <c r="B39" s="22" t="n">
        <f aca="false">ROUND(B19*12*(1+B20)^6,0)</f>
        <v>804</v>
      </c>
      <c r="C39" s="22" t="n">
        <f aca="false">ROUND(B39*(1+B20)^12,0)</f>
        <v>1444</v>
      </c>
      <c r="D39" s="22" t="n">
        <f aca="false">ROUND(C39*(1+B20)^12,0)</f>
        <v>2593</v>
      </c>
      <c r="E39" s="22" t="n">
        <f aca="false">ROUND(D39*(1+B20)^12,0)</f>
        <v>4657</v>
      </c>
      <c r="F39" s="22" t="n">
        <f aca="false">ROUND(E39*(1+B20)^12,0)</f>
        <v>8363</v>
      </c>
      <c r="G39" s="4"/>
    </row>
    <row r="40" customFormat="false" ht="24" hidden="false" customHeight="true" outlineLevel="0" collapsed="false">
      <c r="A40" s="10" t="s">
        <v>203</v>
      </c>
      <c r="B40" s="21" t="n">
        <f aca="false">B21*12</f>
        <v>2400</v>
      </c>
      <c r="C40" s="21" t="n">
        <f aca="false">B21*12</f>
        <v>2400</v>
      </c>
      <c r="D40" s="21" t="n">
        <f aca="false">B21*12</f>
        <v>2400</v>
      </c>
      <c r="E40" s="21" t="n">
        <f aca="false">B21*12</f>
        <v>2400</v>
      </c>
      <c r="F40" s="21" t="n">
        <f aca="false">B21*12</f>
        <v>2400</v>
      </c>
      <c r="G40" s="4"/>
    </row>
    <row r="41" customFormat="false" ht="24" hidden="false" customHeight="true" outlineLevel="0" collapsed="false">
      <c r="A41" s="7" t="s">
        <v>204</v>
      </c>
      <c r="B41" s="22" t="n">
        <f aca="false">B22</f>
        <v>150</v>
      </c>
      <c r="C41" s="22" t="n">
        <f aca="false">B22</f>
        <v>150</v>
      </c>
      <c r="D41" s="22" t="n">
        <f aca="false">B22</f>
        <v>150</v>
      </c>
      <c r="E41" s="22" t="n">
        <f aca="false">B22</f>
        <v>150</v>
      </c>
      <c r="F41" s="22" t="n">
        <f aca="false">B22</f>
        <v>150</v>
      </c>
      <c r="G41" s="4"/>
    </row>
    <row r="42" customFormat="false" ht="24" hidden="false" customHeight="true" outlineLevel="0" collapsed="false">
      <c r="A42" s="10" t="s">
        <v>205</v>
      </c>
      <c r="B42" s="21" t="n">
        <f aca="false">ROUND((B34+B35)*0.035,0)</f>
        <v>2963</v>
      </c>
      <c r="C42" s="21" t="n">
        <f aca="false">ROUND((C34+C35)*0.035,0)</f>
        <v>8862</v>
      </c>
      <c r="D42" s="21" t="n">
        <f aca="false">ROUND((D34+D35)*0.035,0)</f>
        <v>17763</v>
      </c>
      <c r="E42" s="21" t="n">
        <f aca="false">ROUND((E34+E35)*0.035,0)</f>
        <v>28048</v>
      </c>
      <c r="F42" s="21" t="n">
        <f aca="false">ROUND((F34+F35)*0.035,0)</f>
        <v>37873</v>
      </c>
      <c r="G42" s="4"/>
    </row>
    <row r="43" customFormat="false" ht="24" hidden="false" customHeight="true" outlineLevel="0" collapsed="false">
      <c r="A43" s="26" t="s">
        <v>206</v>
      </c>
      <c r="B43" s="27" t="n">
        <f aca="false">B39+B40+B41+B42</f>
        <v>6317</v>
      </c>
      <c r="C43" s="27" t="n">
        <f aca="false">C39+C40+C41+C42</f>
        <v>12856</v>
      </c>
      <c r="D43" s="27" t="n">
        <f aca="false">D39+D40+D41+D42</f>
        <v>22906</v>
      </c>
      <c r="E43" s="27" t="n">
        <f aca="false">E39+E40+E41+E42</f>
        <v>35255</v>
      </c>
      <c r="F43" s="27" t="n">
        <f aca="false">F39+F40+F41+F42</f>
        <v>48786</v>
      </c>
      <c r="G43" s="4"/>
    </row>
    <row r="44" customFormat="false" ht="24" hidden="false" customHeight="true" outlineLevel="0" collapsed="false">
      <c r="A44" s="17"/>
      <c r="B44" s="25"/>
      <c r="C44" s="25"/>
      <c r="D44" s="25"/>
      <c r="E44" s="25"/>
      <c r="F44" s="25"/>
      <c r="G44" s="4"/>
    </row>
    <row r="45" customFormat="false" ht="24" hidden="false" customHeight="true" outlineLevel="0" collapsed="false">
      <c r="A45" s="28" t="s">
        <v>207</v>
      </c>
      <c r="B45" s="29" t="n">
        <f aca="false">B37-B43</f>
        <v>79577</v>
      </c>
      <c r="C45" s="29" t="n">
        <f aca="false">C37-C43</f>
        <v>243597</v>
      </c>
      <c r="D45" s="29" t="n">
        <f aca="false">D37-D43</f>
        <v>490612</v>
      </c>
      <c r="E45" s="29" t="n">
        <f aca="false">E37-E43</f>
        <v>774988</v>
      </c>
      <c r="F45" s="29" t="n">
        <f aca="false">F37-F43</f>
        <v>1044546</v>
      </c>
      <c r="G45" s="4"/>
    </row>
    <row r="46" customFormat="false" ht="24" hidden="false" customHeight="true" outlineLevel="0" collapsed="false">
      <c r="A46" s="10" t="s">
        <v>208</v>
      </c>
      <c r="B46" s="30" t="n">
        <f aca="false">IF(B37&gt;0,B45/B37,0)</f>
        <v>0.926455864204718</v>
      </c>
      <c r="C46" s="30" t="n">
        <f aca="false">IF(C37&gt;0,C45/C37,0)</f>
        <v>0.949869956678222</v>
      </c>
      <c r="D46" s="30" t="n">
        <f aca="false">IF(D37&gt;0,D45/D37,0)</f>
        <v>0.955393968663221</v>
      </c>
      <c r="E46" s="30" t="n">
        <f aca="false">IF(E37&gt;0,E45/E37,0)</f>
        <v>0.956488362133335</v>
      </c>
      <c r="F46" s="30" t="n">
        <f aca="false">IF(F37&gt;0,F45/F37,0)</f>
        <v>0.955378604120249</v>
      </c>
      <c r="G46" s="4"/>
    </row>
    <row r="47" customFormat="false" ht="24" hidden="false" customHeight="true" outlineLevel="0" collapsed="false">
      <c r="A47" s="7" t="s">
        <v>209</v>
      </c>
      <c r="B47" s="24" t="n">
        <f aca="false">B37</f>
        <v>85894</v>
      </c>
      <c r="C47" s="24" t="n">
        <f aca="false">B47+C37</f>
        <v>342347</v>
      </c>
      <c r="D47" s="24" t="n">
        <f aca="false">C47+D37</f>
        <v>855865</v>
      </c>
      <c r="E47" s="24" t="n">
        <f aca="false">D47+E37</f>
        <v>1666108</v>
      </c>
      <c r="F47" s="24" t="n">
        <f aca="false">E47+F37</f>
        <v>2759440</v>
      </c>
      <c r="G47" s="4"/>
    </row>
    <row r="48" customFormat="false" ht="24" hidden="false" customHeight="true" outlineLevel="0" collapsed="false">
      <c r="A48" s="10" t="s">
        <v>210</v>
      </c>
      <c r="B48" s="31" t="n">
        <f aca="false">B45</f>
        <v>79577</v>
      </c>
      <c r="C48" s="31" t="n">
        <f aca="false">B48+C45</f>
        <v>323174</v>
      </c>
      <c r="D48" s="31" t="n">
        <f aca="false">C48+D45</f>
        <v>813786</v>
      </c>
      <c r="E48" s="31" t="n">
        <f aca="false">D48+E45</f>
        <v>1588774</v>
      </c>
      <c r="F48" s="31" t="n">
        <f aca="false">E48+F45</f>
        <v>2633320</v>
      </c>
      <c r="G48" s="4"/>
    </row>
    <row r="49" customFormat="false" ht="24" hidden="false" customHeight="true" outlineLevel="0" collapsed="false">
      <c r="A49" s="4"/>
      <c r="B49" s="4"/>
      <c r="C49" s="4"/>
      <c r="D49" s="4"/>
      <c r="E49" s="4"/>
      <c r="F49" s="4"/>
      <c r="G49" s="4"/>
    </row>
    <row r="50" customFormat="false" ht="24" hidden="false" customHeight="true" outlineLevel="0" collapsed="false">
      <c r="A50" s="4"/>
      <c r="B50" s="4"/>
      <c r="C50" s="4"/>
      <c r="D50" s="4"/>
      <c r="E50" s="4"/>
      <c r="F50" s="4"/>
      <c r="G50" s="4"/>
    </row>
    <row r="51" customFormat="false" ht="24" hidden="false" customHeight="true" outlineLevel="0" collapsed="false">
      <c r="A51" s="5" t="s">
        <v>211</v>
      </c>
      <c r="B51" s="5"/>
      <c r="C51" s="5"/>
      <c r="D51" s="5"/>
      <c r="E51" s="5"/>
      <c r="F51" s="5"/>
      <c r="G51" s="5"/>
    </row>
    <row r="52" customFormat="false" ht="24" hidden="false" customHeight="true" outlineLevel="0" collapsed="false">
      <c r="A52" s="6" t="s">
        <v>212</v>
      </c>
      <c r="B52" s="6" t="s">
        <v>213</v>
      </c>
      <c r="C52" s="6" t="s">
        <v>5</v>
      </c>
      <c r="D52" s="6" t="s">
        <v>214</v>
      </c>
      <c r="E52" s="6" t="s">
        <v>215</v>
      </c>
      <c r="F52" s="6" t="s">
        <v>216</v>
      </c>
      <c r="G52" s="4"/>
    </row>
    <row r="53" customFormat="false" ht="24" hidden="false" customHeight="true" outlineLevel="0" collapsed="false">
      <c r="A53" s="7" t="s">
        <v>217</v>
      </c>
      <c r="B53" s="7" t="s">
        <v>218</v>
      </c>
      <c r="C53" s="8" t="s">
        <v>219</v>
      </c>
      <c r="D53" s="9" t="s">
        <v>220</v>
      </c>
      <c r="E53" s="8" t="s">
        <v>221</v>
      </c>
      <c r="F53" s="7" t="s">
        <v>222</v>
      </c>
      <c r="G53" s="4"/>
    </row>
    <row r="54" customFormat="false" ht="24" hidden="false" customHeight="true" outlineLevel="0" collapsed="false">
      <c r="A54" s="10" t="s">
        <v>223</v>
      </c>
      <c r="B54" s="10" t="s">
        <v>224</v>
      </c>
      <c r="C54" s="11" t="s">
        <v>225</v>
      </c>
      <c r="D54" s="12" t="s">
        <v>226</v>
      </c>
      <c r="E54" s="11" t="s">
        <v>227</v>
      </c>
      <c r="F54" s="10" t="s">
        <v>228</v>
      </c>
      <c r="G54" s="4"/>
    </row>
    <row r="55" customFormat="false" ht="24" hidden="false" customHeight="true" outlineLevel="0" collapsed="false">
      <c r="A55" s="7" t="s">
        <v>229</v>
      </c>
      <c r="B55" s="7" t="s">
        <v>230</v>
      </c>
      <c r="C55" s="8" t="s">
        <v>231</v>
      </c>
      <c r="D55" s="9" t="s">
        <v>232</v>
      </c>
      <c r="E55" s="8" t="s">
        <v>233</v>
      </c>
      <c r="F55" s="7" t="s">
        <v>234</v>
      </c>
      <c r="G55" s="4"/>
    </row>
    <row r="56" customFormat="false" ht="24" hidden="false" customHeight="true" outlineLevel="0" collapsed="false">
      <c r="A56" s="10" t="s">
        <v>235</v>
      </c>
      <c r="B56" s="10" t="s">
        <v>236</v>
      </c>
      <c r="C56" s="11" t="s">
        <v>237</v>
      </c>
      <c r="D56" s="12" t="s">
        <v>238</v>
      </c>
      <c r="E56" s="11" t="s">
        <v>239</v>
      </c>
      <c r="F56" s="10" t="s">
        <v>240</v>
      </c>
      <c r="G56" s="4"/>
    </row>
    <row r="57" customFormat="false" ht="24" hidden="false" customHeight="true" outlineLevel="0" collapsed="false">
      <c r="A57" s="4"/>
      <c r="B57" s="4"/>
      <c r="C57" s="4"/>
      <c r="D57" s="4"/>
      <c r="E57" s="4"/>
      <c r="F57" s="4"/>
      <c r="G57" s="4"/>
    </row>
    <row r="58" customFormat="false" ht="24" hidden="false" customHeight="true" outlineLevel="0" collapsed="false">
      <c r="A58" s="4"/>
      <c r="B58" s="4"/>
      <c r="C58" s="4"/>
      <c r="D58" s="4"/>
      <c r="E58" s="4"/>
      <c r="F58" s="4"/>
      <c r="G58" s="4"/>
    </row>
    <row r="59" customFormat="false" ht="24" hidden="false" customHeight="true" outlineLevel="0" collapsed="false">
      <c r="A59" s="4"/>
      <c r="B59" s="4"/>
      <c r="C59" s="4"/>
      <c r="D59" s="4"/>
      <c r="E59" s="4"/>
      <c r="F59" s="4"/>
      <c r="G59" s="4"/>
    </row>
    <row r="60" customFormat="false" ht="24" hidden="false" customHeight="true" outlineLevel="0" collapsed="false">
      <c r="A60" s="4"/>
      <c r="B60" s="4"/>
      <c r="C60" s="4"/>
      <c r="D60" s="4"/>
      <c r="E60" s="4"/>
      <c r="F60" s="4"/>
      <c r="G60" s="4"/>
    </row>
    <row r="61" customFormat="false" ht="15" hidden="false" customHeight="true" outlineLevel="0" collapsed="false">
      <c r="A61" s="4"/>
      <c r="B61" s="4"/>
      <c r="C61" s="4"/>
      <c r="D61" s="4"/>
      <c r="E61" s="4"/>
      <c r="F61" s="4"/>
      <c r="G61" s="4"/>
    </row>
    <row r="62" customFormat="false" ht="15" hidden="false" customHeight="true" outlineLevel="0" collapsed="false">
      <c r="A62" s="4"/>
      <c r="B62" s="4"/>
      <c r="C62" s="4"/>
      <c r="D62" s="4"/>
      <c r="E62" s="4"/>
      <c r="F62" s="4"/>
      <c r="G62" s="4"/>
    </row>
    <row r="63" customFormat="false" ht="15" hidden="false" customHeight="true" outlineLevel="0" collapsed="false">
      <c r="A63" s="4"/>
      <c r="B63" s="4"/>
      <c r="C63" s="4"/>
      <c r="D63" s="4"/>
      <c r="E63" s="4"/>
      <c r="F63" s="4"/>
      <c r="G63" s="4"/>
    </row>
    <row r="64" customFormat="false" ht="15" hidden="false" customHeight="true" outlineLevel="0" collapsed="false">
      <c r="A64" s="4"/>
      <c r="B64" s="4"/>
      <c r="C64" s="4"/>
      <c r="D64" s="4"/>
      <c r="E64" s="4"/>
      <c r="F64" s="4"/>
      <c r="G64" s="4"/>
    </row>
    <row r="65" customFormat="false" ht="15" hidden="false" customHeight="true" outlineLevel="0" collapsed="false">
      <c r="A65" s="4"/>
      <c r="B65" s="4"/>
      <c r="C65" s="4"/>
      <c r="D65" s="4"/>
      <c r="E65" s="4"/>
      <c r="F65" s="4"/>
      <c r="G65" s="4"/>
    </row>
    <row r="66" customFormat="false" ht="15" hidden="false" customHeight="true" outlineLevel="0" collapsed="false">
      <c r="A66" s="4"/>
      <c r="B66" s="4"/>
      <c r="C66" s="4"/>
      <c r="D66" s="4"/>
      <c r="E66" s="4"/>
      <c r="F66" s="4"/>
      <c r="G66" s="4"/>
    </row>
    <row r="67" customFormat="false" ht="15" hidden="false" customHeight="true" outlineLevel="0" collapsed="false">
      <c r="A67" s="4"/>
      <c r="B67" s="4"/>
      <c r="C67" s="4"/>
      <c r="D67" s="4"/>
      <c r="E67" s="4"/>
      <c r="F67" s="4"/>
      <c r="G67" s="4"/>
    </row>
    <row r="68" customFormat="false" ht="15" hidden="false" customHeight="true" outlineLevel="0" collapsed="false">
      <c r="A68" s="4"/>
      <c r="B68" s="4"/>
      <c r="C68" s="4"/>
      <c r="D68" s="4"/>
      <c r="E68" s="4"/>
      <c r="F68" s="4"/>
      <c r="G68" s="4"/>
    </row>
    <row r="69" customFormat="false" ht="15" hidden="false" customHeight="true" outlineLevel="0" collapsed="false">
      <c r="A69" s="4"/>
      <c r="B69" s="4"/>
      <c r="C69" s="4"/>
      <c r="D69" s="4"/>
      <c r="E69" s="4"/>
      <c r="F69" s="4"/>
      <c r="G69" s="4"/>
    </row>
    <row r="70" customFormat="false" ht="15" hidden="false" customHeight="true" outlineLevel="0" collapsed="false">
      <c r="A70" s="4"/>
      <c r="B70" s="4"/>
      <c r="C70" s="4"/>
      <c r="D70" s="4"/>
      <c r="E70" s="4"/>
      <c r="F70" s="4"/>
      <c r="G70" s="4"/>
    </row>
    <row r="71" customFormat="false" ht="15" hidden="false" customHeight="true" outlineLevel="0" collapsed="false">
      <c r="A71" s="4"/>
      <c r="B71" s="4"/>
      <c r="C71" s="4"/>
      <c r="D71" s="4"/>
      <c r="E71" s="4"/>
      <c r="F71" s="4"/>
      <c r="G71" s="4"/>
    </row>
    <row r="72" customFormat="false" ht="15" hidden="false" customHeight="true" outlineLevel="0" collapsed="false">
      <c r="A72" s="4"/>
      <c r="B72" s="4"/>
      <c r="C72" s="4"/>
      <c r="D72" s="4"/>
      <c r="E72" s="4"/>
      <c r="F72" s="4"/>
      <c r="G72" s="4"/>
    </row>
    <row r="73" customFormat="false" ht="15" hidden="false" customHeight="true" outlineLevel="0" collapsed="false">
      <c r="A73" s="4"/>
      <c r="B73" s="4"/>
      <c r="C73" s="4"/>
      <c r="D73" s="4"/>
      <c r="E73" s="4"/>
      <c r="F73" s="4"/>
      <c r="G73" s="4"/>
    </row>
    <row r="74" customFormat="false" ht="15" hidden="false" customHeight="true" outlineLevel="0" collapsed="false">
      <c r="A74" s="4"/>
      <c r="B74" s="4"/>
      <c r="C74" s="4"/>
      <c r="D74" s="4"/>
      <c r="E74" s="4"/>
      <c r="F74" s="4"/>
      <c r="G74" s="4"/>
    </row>
    <row r="75" customFormat="false" ht="15" hidden="false" customHeight="true" outlineLevel="0" collapsed="false">
      <c r="A75" s="4"/>
      <c r="B75" s="4"/>
      <c r="C75" s="4"/>
      <c r="D75" s="4"/>
      <c r="E75" s="4"/>
      <c r="F75" s="4"/>
      <c r="G75" s="4"/>
    </row>
    <row r="76" customFormat="false" ht="15" hidden="false" customHeight="true" outlineLevel="0" collapsed="false">
      <c r="A76" s="4"/>
      <c r="B76" s="4"/>
      <c r="C76" s="4"/>
      <c r="D76" s="4"/>
      <c r="E76" s="4"/>
      <c r="F76" s="4"/>
      <c r="G76" s="4"/>
    </row>
    <row r="77" customFormat="false" ht="15" hidden="false" customHeight="true" outlineLevel="0" collapsed="false">
      <c r="A77" s="4"/>
      <c r="B77" s="4"/>
      <c r="C77" s="4"/>
      <c r="D77" s="4"/>
      <c r="E77" s="4"/>
      <c r="F77" s="4"/>
      <c r="G77" s="4"/>
    </row>
    <row r="78" customFormat="false" ht="15" hidden="false" customHeight="true" outlineLevel="0" collapsed="false">
      <c r="A78" s="4"/>
      <c r="B78" s="4"/>
      <c r="C78" s="4"/>
      <c r="D78" s="4"/>
      <c r="E78" s="4"/>
      <c r="F78" s="4"/>
      <c r="G78" s="4"/>
    </row>
    <row r="79" customFormat="false" ht="15" hidden="false" customHeight="true" outlineLevel="0" collapsed="false">
      <c r="A79" s="4"/>
      <c r="B79" s="4"/>
      <c r="C79" s="4"/>
      <c r="D79" s="4"/>
      <c r="E79" s="4"/>
      <c r="F79" s="4"/>
      <c r="G79" s="4"/>
    </row>
    <row r="80" customFormat="false" ht="15" hidden="false" customHeight="true" outlineLevel="0" collapsed="false">
      <c r="A80" s="4"/>
      <c r="B80" s="4"/>
      <c r="C80" s="4"/>
      <c r="D80" s="4"/>
      <c r="E80" s="4"/>
      <c r="F80" s="4"/>
      <c r="G80" s="4"/>
    </row>
  </sheetData>
  <mergeCells count="5">
    <mergeCell ref="A1:G1"/>
    <mergeCell ref="A2:G2"/>
    <mergeCell ref="A4:G4"/>
    <mergeCell ref="A25:G25"/>
    <mergeCell ref="A51:G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2026-04-15T07:15:24Z</dcterms:created>
  <dc:creator>openpyxl</dc:creator>
  <dc:description/>
  <dc:language>en-US</dc:language>
  <cp:lastModifiedBy/>
  <dcterms:modified xsi:type="dcterms:W3CDTF">2026-04-15T07:16:01Z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